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dijahamansur/Documents/Jarkom/dr Abdi/Penelitian/"/>
    </mc:Choice>
  </mc:AlternateContent>
  <xr:revisionPtr revIDLastSave="0" documentId="13_ncr:1_{567D3877-F04E-AE4C-97AB-072C34D4DC32}" xr6:coauthVersionLast="47" xr6:coauthVersionMax="47" xr10:uidLastSave="{00000000-0000-0000-0000-000000000000}"/>
  <bookViews>
    <workbookView xWindow="0" yWindow="0" windowWidth="28800" windowHeight="18000" xr2:uid="{6C4A2271-0EFE-0F40-BF94-0910B8B4C796}"/>
  </bookViews>
  <sheets>
    <sheet name="Sheet1" sheetId="1" r:id="rId1"/>
  </sheets>
  <definedNames>
    <definedName name="Alamat">Sheet1!$D$2:$D$39</definedName>
    <definedName name="BB">Sheet1!$G$2:$G$39</definedName>
    <definedName name="Diagnosis">Sheet1!$I$2:$I$39</definedName>
    <definedName name="Feritin">Sheet1!$O$2:$O$39</definedName>
    <definedName name="ft4_">Sheet1!$P$2:$P$39</definedName>
    <definedName name="Hb">Sheet1!$K$2:$K$39</definedName>
    <definedName name="Index_Mentzner">Sheet1!$R$2:$R$39</definedName>
    <definedName name="MCH">Sheet1!$M$2:$M$39</definedName>
    <definedName name="MCV">Sheet1!$L$2:$L$39</definedName>
    <definedName name="Nama">Sheet1!$B$2:$B$39</definedName>
    <definedName name="No">Sheet1!$A$2:$A$39</definedName>
    <definedName name="No_RM">Sheet1!$C$2:$C$39</definedName>
    <definedName name="RBC">Sheet1!$J$2:$J$39</definedName>
    <definedName name="RDW">Sheet1!$N$2:$N$39</definedName>
    <definedName name="Status_Gizi__lla">Sheet1!$H$2:$H$39</definedName>
    <definedName name="TB">Sheet1!$F$2:$F$39</definedName>
    <definedName name="TSHS">Sheet1!$Q$2:$Q$39</definedName>
    <definedName name="Usia">Sheet1!$E$2:$E$39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<sst xmlns="http://schemas.openxmlformats.org/spreadsheetml/2006/main" count="218" uniqueCount="135">
  <si>
    <t xml:space="preserve">No </t>
  </si>
  <si>
    <t>Nama</t>
  </si>
  <si>
    <t>Usia</t>
  </si>
  <si>
    <t>Diagnosis</t>
  </si>
  <si>
    <t>Hb</t>
  </si>
  <si>
    <t>MCV</t>
  </si>
  <si>
    <t>MCH</t>
  </si>
  <si>
    <t>RDW</t>
  </si>
  <si>
    <t>Feritin</t>
  </si>
  <si>
    <t>Alamat</t>
  </si>
  <si>
    <t>No RM</t>
  </si>
  <si>
    <t>TB</t>
  </si>
  <si>
    <t>BB</t>
  </si>
  <si>
    <t>Status Gizi (lla)</t>
  </si>
  <si>
    <t>TSHS</t>
  </si>
  <si>
    <t>ft4</t>
  </si>
  <si>
    <t>Citra Amalia</t>
  </si>
  <si>
    <t>Beta Mayor</t>
  </si>
  <si>
    <t>Ghania Riskia</t>
  </si>
  <si>
    <t>&gt; 1200</t>
  </si>
  <si>
    <t>8 tahun, 8 bulan</t>
  </si>
  <si>
    <t>7 tahun 11 bulan</t>
  </si>
  <si>
    <t>Nailah</t>
  </si>
  <si>
    <t>Beta HBE</t>
  </si>
  <si>
    <t>12 tahun 4 bulan</t>
  </si>
  <si>
    <t>Widya Kirana</t>
  </si>
  <si>
    <t>13 tahun 0 bulan</t>
  </si>
  <si>
    <t>Muh. Rafly Mahesa</t>
  </si>
  <si>
    <t>17 tahun 0 bulan</t>
  </si>
  <si>
    <t>2 tahun 11 bulan</t>
  </si>
  <si>
    <t>Shazana Salsabila</t>
  </si>
  <si>
    <t>Muh. Rafi Putra</t>
  </si>
  <si>
    <t>13 tahun 3 bulan</t>
  </si>
  <si>
    <t>Almirza Zaman</t>
  </si>
  <si>
    <t>8 tahun 1 bulan</t>
  </si>
  <si>
    <t>Ahmad Dhani</t>
  </si>
  <si>
    <t>14 tahun 9 bulan</t>
  </si>
  <si>
    <t>Nayla Farah</t>
  </si>
  <si>
    <t>11 tahun 10 bulan</t>
  </si>
  <si>
    <t>Christa Selomita</t>
  </si>
  <si>
    <t>Alfa</t>
  </si>
  <si>
    <t>10 tahun 1 bulan</t>
  </si>
  <si>
    <t>Nadia Karisma</t>
  </si>
  <si>
    <t>15 tahun 4 tahun</t>
  </si>
  <si>
    <t>6 tahun 1 bulan</t>
  </si>
  <si>
    <t>Nuril Adzkiya</t>
  </si>
  <si>
    <t>Alvalent Fernan</t>
  </si>
  <si>
    <t>13 tahun 8 bulan</t>
  </si>
  <si>
    <t>Inayah Annisa</t>
  </si>
  <si>
    <t>Khanza</t>
  </si>
  <si>
    <t>4 tahun 10 bulan</t>
  </si>
  <si>
    <t>Ratu Balqis</t>
  </si>
  <si>
    <t>Muh. Zaky Syarif</t>
  </si>
  <si>
    <t>10 tahun 5 bulan</t>
  </si>
  <si>
    <t>3 tahun 5 bulan</t>
  </si>
  <si>
    <t>Rahesh Calixto Ukasya</t>
  </si>
  <si>
    <t>Putri Azizah</t>
  </si>
  <si>
    <t>Nindya Pradita</t>
  </si>
  <si>
    <t>17 tahun 8 bulan</t>
  </si>
  <si>
    <t>Ridwan Ramadhan</t>
  </si>
  <si>
    <t>2 tahun 5 bulan</t>
  </si>
  <si>
    <t>Nuraeni</t>
  </si>
  <si>
    <t>11 tahun 2 bulan</t>
  </si>
  <si>
    <t>Siti Zhafirah</t>
  </si>
  <si>
    <t>9 tahun 4 bulan</t>
  </si>
  <si>
    <t>Fathian Akbar</t>
  </si>
  <si>
    <t>13 tahun 7 bulan</t>
  </si>
  <si>
    <t>Aleza Zahra</t>
  </si>
  <si>
    <t>8 tahun 5 bulan</t>
  </si>
  <si>
    <t>Muh. Ammar Sulaeman</t>
  </si>
  <si>
    <t>Saputra</t>
  </si>
  <si>
    <t>16 tahun 1 bulan</t>
  </si>
  <si>
    <t>Dwita Marcelia</t>
  </si>
  <si>
    <t>15 tahun 10 bulan</t>
  </si>
  <si>
    <t>Farah Amelia</t>
  </si>
  <si>
    <t>7 tahun 4 bulan</t>
  </si>
  <si>
    <t>Siti Rahma Dita Andi R.</t>
  </si>
  <si>
    <t>13 tahun 11 bulan</t>
  </si>
  <si>
    <t>Muh. Sakha Ganiyyu</t>
  </si>
  <si>
    <t>8 tahun 10. bulan</t>
  </si>
  <si>
    <t>9 tahun 5 bulan</t>
  </si>
  <si>
    <t>Jalan Pelabuhan</t>
  </si>
  <si>
    <t>6 tahun</t>
  </si>
  <si>
    <t>Kampung Parang</t>
  </si>
  <si>
    <t>Jalan Taladilau</t>
  </si>
  <si>
    <t>Batusuya</t>
  </si>
  <si>
    <t>Kessi</t>
  </si>
  <si>
    <t>Pangkep</t>
  </si>
  <si>
    <t>Gizi kurang</t>
  </si>
  <si>
    <t>Gizi baik</t>
  </si>
  <si>
    <t>Gizi Baik</t>
  </si>
  <si>
    <t>Beta Minor</t>
  </si>
  <si>
    <t>Aditya Salman</t>
  </si>
  <si>
    <t>Muh Fayyad</t>
  </si>
  <si>
    <t>17 tahun 11 bulan</t>
  </si>
  <si>
    <t>1 tahun 4 bulan</t>
  </si>
  <si>
    <t>Jl Ir Soekarno</t>
  </si>
  <si>
    <t xml:space="preserve"> Jl. Urip Sumoharjo No. 31</t>
  </si>
  <si>
    <t>Emmi Saelan Sengkang</t>
  </si>
  <si>
    <t>Jl Syekh Yusuf Raya No 23</t>
  </si>
  <si>
    <t>Btn Griya Maros Indah E No 18</t>
  </si>
  <si>
    <t>Ulu Tabba</t>
  </si>
  <si>
    <t>Papareang.Gowa</t>
  </si>
  <si>
    <t>Dusun Kopp</t>
  </si>
  <si>
    <t>Pemanukan</t>
  </si>
  <si>
    <t>Dusun Sikapaya, Maros</t>
  </si>
  <si>
    <t>Jl Rappocini Raya Lr 5g</t>
  </si>
  <si>
    <t>Nonongan</t>
  </si>
  <si>
    <t>Villa Mutiara Blok Mb/11 No.9 Mks</t>
  </si>
  <si>
    <t>Jl Dangko Lr 31 No 51</t>
  </si>
  <si>
    <t>Dusun Jombang</t>
  </si>
  <si>
    <t>Dusun Sampeang</t>
  </si>
  <si>
    <t>Jl.Lantebung No.115a Mks</t>
  </si>
  <si>
    <t>Bumi Pallangga Mas Iic 14</t>
  </si>
  <si>
    <t>Dusun Mangemba</t>
  </si>
  <si>
    <t>Jl Tinumbu No 142</t>
  </si>
  <si>
    <t>Btn Balakng</t>
  </si>
  <si>
    <t>Btn Mangga Tiga Blok C2 No 5 Makassar</t>
  </si>
  <si>
    <t>Btp Blok F No. 4. Makassar</t>
  </si>
  <si>
    <t>Muttiara Turucinnae Lamuru Bone</t>
  </si>
  <si>
    <t>Dusun Bua Mata</t>
  </si>
  <si>
    <t>Dsn Ii Lakito</t>
  </si>
  <si>
    <t>Wawondula Luwu Timur</t>
  </si>
  <si>
    <t>Jl Manunggal 31 No 97 Maccini Sombala</t>
  </si>
  <si>
    <t>Komp Purn Tni Au Pal 3</t>
  </si>
  <si>
    <t>Erlangga Putra Lukman</t>
  </si>
  <si>
    <t>Muh. Rezky Darwiawan</t>
  </si>
  <si>
    <t>A Muh Raihan B Amir</t>
  </si>
  <si>
    <t>Komp Kodam GNG Sari no 39</t>
  </si>
  <si>
    <t>Adriansyah Irawan</t>
  </si>
  <si>
    <t>5 Tahun 6 bulan</t>
  </si>
  <si>
    <t>Dusun Sidomulyo</t>
  </si>
  <si>
    <t xml:space="preserve">&gt; 1200 </t>
  </si>
  <si>
    <t>Index Mentzner</t>
  </si>
  <si>
    <t>RBC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</si>
</sst>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  <font>
      <sz val="12"/>
      <color rgb="FF333333"/>
      <name val="Times Roman"/>
    </font>
    <font>
      <sz val="12"/>
      <name val="Times Roman"/>
    </font>
    <font>
      <sz val="12"/>
      <color rgb="FF000000"/>
      <name val="Times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E1FA-8CE3-3A41-A37A-B94F7282E88F}">
  <dimension ref="A1:R61"/>
  <sheetViews>
    <sheetView tabSelected="1" zoomScale="115" zoomScaleNormal="130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R32" sqref="R32"/>
    </sheetView>
  </sheetViews>
  <sheetFormatPr baseColWidth="10" defaultRowHeight="16"/>
  <cols>
    <col min="1" max="1" width="3.83203125" customWidth="1"/>
    <col min="2" max="2" width="23.1640625" customWidth="1"/>
    <col min="3" max="3" width="8.6640625" style="1" customWidth="1"/>
    <col min="4" max="4" width="38" customWidth="1"/>
    <col min="5" max="5" width="16.83203125" customWidth="1"/>
    <col min="8" max="9" width="15" customWidth="1"/>
    <col min="10" max="10" width="12.6640625" style="1" customWidth="1"/>
    <col min="15" max="15" width="15.1640625" style="1" customWidth="1"/>
    <col min="18" max="18" width="16" style="7" customWidth="1"/>
  </cols>
  <sheetData>
    <row r="1" spans="1:18">
      <c r="A1" s="8" t="s">
        <v>0</v>
      </c>
      <c r="B1" s="8" t="s">
        <v>1</v>
      </c>
      <c r="C1" s="9" t="s">
        <v>10</v>
      </c>
      <c r="D1" s="8" t="s">
        <v>9</v>
      </c>
      <c r="E1" s="8" t="s">
        <v>2</v>
      </c>
      <c r="F1" s="8" t="s">
        <v>11</v>
      </c>
      <c r="G1" s="8" t="s">
        <v>12</v>
      </c>
      <c r="H1" s="8" t="s">
        <v>13</v>
      </c>
      <c r="I1" s="8" t="s">
        <v>3</v>
      </c>
      <c r="J1" s="9" t="s">
        <v>134</v>
      </c>
      <c r="K1" s="8" t="s">
        <v>4</v>
      </c>
      <c r="L1" s="8" t="s">
        <v>5</v>
      </c>
      <c r="M1" s="8" t="s">
        <v>6</v>
      </c>
      <c r="N1" s="8" t="s">
        <v>7</v>
      </c>
      <c r="O1" s="9" t="s">
        <v>8</v>
      </c>
      <c r="P1" s="8" t="s">
        <v>15</v>
      </c>
      <c r="Q1" s="8" t="s">
        <v>14</v>
      </c>
      <c r="R1" s="8" t="s">
        <v>133</v>
      </c>
    </row>
    <row r="2" spans="1:18">
      <c r="A2" s="2">
        <v>1</v>
      </c>
      <c r="B2" s="10" t="s">
        <v>93</v>
      </c>
      <c r="C2" s="11">
        <v>991684</v>
      </c>
      <c r="D2" s="6" t="s">
        <v>96</v>
      </c>
      <c r="E2" s="3" t="s">
        <v>95</v>
      </c>
      <c r="F2" s="2">
        <v>74</v>
      </c>
      <c r="G2" s="2">
        <v>8.4</v>
      </c>
      <c r="H2" s="3" t="s">
        <v>88</v>
      </c>
      <c r="I2" s="3" t="s">
        <v>17</v>
      </c>
      <c r="J2" s="2">
        <v>4.51</v>
      </c>
      <c r="K2" s="2">
        <v>5.9</v>
      </c>
      <c r="L2" s="2">
        <v>54</v>
      </c>
      <c r="M2" s="2">
        <v>13</v>
      </c>
      <c r="N2" s="2">
        <v>26.5</v>
      </c>
      <c r="O2" s="2">
        <v>111.25</v>
      </c>
      <c r="P2" s="2">
        <v>1.1499999999999999</v>
      </c>
      <c r="Q2" s="2">
        <v>0.4</v>
      </c>
      <c r="R2" s="12" cm="1">
        <f t="array" ref="R2:R39">MCV/RBC</f>
        <v>11.97339246119734</v>
      </c>
    </row>
    <row r="3" spans="1:18">
      <c r="A3" s="2">
        <v>2</v>
      </c>
      <c r="B3" s="3" t="s">
        <v>16</v>
      </c>
      <c r="C3" s="2">
        <v>680351</v>
      </c>
      <c r="D3" s="13" t="s">
        <v>83</v>
      </c>
      <c r="E3" s="3" t="s">
        <v>20</v>
      </c>
      <c r="F3" s="2">
        <v>118</v>
      </c>
      <c r="G3" s="2">
        <v>20</v>
      </c>
      <c r="H3" s="3" t="s">
        <v>89</v>
      </c>
      <c r="I3" s="3" t="s">
        <v>17</v>
      </c>
      <c r="J3" s="2">
        <v>2.58</v>
      </c>
      <c r="K3" s="2">
        <v>7.6</v>
      </c>
      <c r="L3" s="2">
        <v>84</v>
      </c>
      <c r="M3" s="2">
        <v>30</v>
      </c>
      <c r="N3" s="2">
        <v>12.9</v>
      </c>
      <c r="O3" s="2">
        <v>326.16000000000003</v>
      </c>
      <c r="P3" s="2">
        <v>1.38</v>
      </c>
      <c r="Q3" s="2">
        <v>7.02</v>
      </c>
      <c r="R3" s="12">
        <v>32.558139534883722</v>
      </c>
    </row>
    <row r="4" spans="1:18">
      <c r="A4" s="2">
        <v>3</v>
      </c>
      <c r="B4" s="3" t="s">
        <v>18</v>
      </c>
      <c r="C4" s="5">
        <v>861811</v>
      </c>
      <c r="D4" s="6" t="s">
        <v>85</v>
      </c>
      <c r="E4" s="3" t="s">
        <v>21</v>
      </c>
      <c r="F4" s="2">
        <v>122</v>
      </c>
      <c r="G4" s="2">
        <v>20</v>
      </c>
      <c r="H4" s="3" t="s">
        <v>88</v>
      </c>
      <c r="I4" s="3" t="s">
        <v>23</v>
      </c>
      <c r="J4" s="2">
        <v>4.57</v>
      </c>
      <c r="K4" s="2">
        <v>10.3</v>
      </c>
      <c r="L4" s="2">
        <v>32</v>
      </c>
      <c r="M4" s="2">
        <v>71</v>
      </c>
      <c r="N4" s="2">
        <v>29.2</v>
      </c>
      <c r="O4" s="2" t="s">
        <v>19</v>
      </c>
      <c r="P4" s="2">
        <v>1.17</v>
      </c>
      <c r="Q4" s="2">
        <v>2</v>
      </c>
      <c r="R4" s="12">
        <v>7.0021881838074398</v>
      </c>
    </row>
    <row r="5" spans="1:18">
      <c r="A5" s="2">
        <v>4</v>
      </c>
      <c r="B5" s="10" t="s">
        <v>92</v>
      </c>
      <c r="C5" s="2">
        <v>667604</v>
      </c>
      <c r="D5" s="6" t="s">
        <v>97</v>
      </c>
      <c r="E5" s="3" t="s">
        <v>94</v>
      </c>
      <c r="F5" s="2">
        <v>164</v>
      </c>
      <c r="G5" s="2">
        <v>54</v>
      </c>
      <c r="H5" s="3" t="s">
        <v>89</v>
      </c>
      <c r="I5" s="3" t="s">
        <v>23</v>
      </c>
      <c r="J5" s="2">
        <v>3.57</v>
      </c>
      <c r="K5" s="2">
        <v>8.1999999999999993</v>
      </c>
      <c r="L5" s="2">
        <v>65</v>
      </c>
      <c r="M5" s="2">
        <v>20</v>
      </c>
      <c r="N5" s="2">
        <v>32.9</v>
      </c>
      <c r="O5" s="2">
        <v>540.76</v>
      </c>
      <c r="P5" s="2">
        <v>1.06</v>
      </c>
      <c r="Q5" s="2">
        <v>3.05</v>
      </c>
      <c r="R5" s="12">
        <v>18.207282913165265</v>
      </c>
    </row>
    <row r="6" spans="1:18">
      <c r="A6" s="2">
        <v>5</v>
      </c>
      <c r="B6" s="3" t="s">
        <v>22</v>
      </c>
      <c r="C6" s="2">
        <v>793723</v>
      </c>
      <c r="D6" s="6" t="s">
        <v>84</v>
      </c>
      <c r="E6" s="3" t="s">
        <v>24</v>
      </c>
      <c r="F6" s="2">
        <v>127</v>
      </c>
      <c r="G6" s="2">
        <v>22</v>
      </c>
      <c r="H6" s="3" t="s">
        <v>88</v>
      </c>
      <c r="I6" s="3" t="s">
        <v>17</v>
      </c>
      <c r="J6" s="2">
        <v>3.04</v>
      </c>
      <c r="K6" s="2">
        <v>7.4</v>
      </c>
      <c r="L6" s="2">
        <v>23</v>
      </c>
      <c r="M6" s="2">
        <v>74</v>
      </c>
      <c r="N6" s="2">
        <v>27.3</v>
      </c>
      <c r="O6" s="2" t="s">
        <v>19</v>
      </c>
      <c r="P6" s="2">
        <v>1.32</v>
      </c>
      <c r="Q6" s="2">
        <v>1.36</v>
      </c>
      <c r="R6" s="12">
        <v>7.5657894736842106</v>
      </c>
    </row>
    <row r="7" spans="1:18">
      <c r="A7" s="2">
        <v>6</v>
      </c>
      <c r="B7" s="3" t="s">
        <v>25</v>
      </c>
      <c r="C7" s="5">
        <v>613040</v>
      </c>
      <c r="D7" s="6" t="s">
        <v>98</v>
      </c>
      <c r="E7" s="3" t="s">
        <v>26</v>
      </c>
      <c r="F7" s="2">
        <v>147</v>
      </c>
      <c r="G7" s="2">
        <v>39</v>
      </c>
      <c r="H7" s="3" t="s">
        <v>89</v>
      </c>
      <c r="I7" s="3" t="s">
        <v>23</v>
      </c>
      <c r="J7" s="2">
        <v>2.99</v>
      </c>
      <c r="K7" s="2">
        <v>6.6</v>
      </c>
      <c r="L7" s="2">
        <v>68</v>
      </c>
      <c r="M7" s="2">
        <v>22</v>
      </c>
      <c r="N7" s="2">
        <v>28.5</v>
      </c>
      <c r="O7" s="2">
        <v>753.37</v>
      </c>
      <c r="P7" s="2">
        <v>1.21</v>
      </c>
      <c r="Q7" s="2">
        <v>1.75</v>
      </c>
      <c r="R7" s="12">
        <v>22.742474916387959</v>
      </c>
    </row>
    <row r="8" spans="1:18">
      <c r="A8" s="2">
        <v>7</v>
      </c>
      <c r="B8" s="4" t="s">
        <v>27</v>
      </c>
      <c r="C8" s="2">
        <v>734439</v>
      </c>
      <c r="D8" s="6" t="s">
        <v>99</v>
      </c>
      <c r="E8" s="3" t="s">
        <v>28</v>
      </c>
      <c r="F8" s="2">
        <v>158</v>
      </c>
      <c r="G8" s="2">
        <v>40.5</v>
      </c>
      <c r="H8" s="3" t="s">
        <v>88</v>
      </c>
      <c r="I8" s="3" t="s">
        <v>17</v>
      </c>
      <c r="J8" s="2">
        <v>3.23</v>
      </c>
      <c r="K8" s="2">
        <v>7.1</v>
      </c>
      <c r="L8" s="2">
        <v>64</v>
      </c>
      <c r="M8" s="2">
        <v>22</v>
      </c>
      <c r="N8" s="2">
        <v>29.5</v>
      </c>
      <c r="O8" s="2">
        <v>3375.8</v>
      </c>
      <c r="P8" s="2">
        <v>1.44</v>
      </c>
      <c r="Q8" s="2">
        <v>4.1100000000000003</v>
      </c>
      <c r="R8" s="12">
        <v>19.814241486068113</v>
      </c>
    </row>
    <row r="9" spans="1:18">
      <c r="A9" s="2">
        <v>8</v>
      </c>
      <c r="B9" s="4" t="s">
        <v>30</v>
      </c>
      <c r="C9" s="2">
        <v>932492</v>
      </c>
      <c r="D9" s="6" t="s">
        <v>87</v>
      </c>
      <c r="E9" s="3" t="s">
        <v>29</v>
      </c>
      <c r="F9" s="2">
        <v>91</v>
      </c>
      <c r="G9" s="2">
        <v>12</v>
      </c>
      <c r="H9" s="3" t="s">
        <v>89</v>
      </c>
      <c r="I9" s="3" t="s">
        <v>17</v>
      </c>
      <c r="J9" s="2">
        <v>2.5299999999999998</v>
      </c>
      <c r="K9" s="2">
        <v>5.9</v>
      </c>
      <c r="L9" s="2">
        <v>68</v>
      </c>
      <c r="M9" s="2">
        <v>23</v>
      </c>
      <c r="N9" s="2">
        <v>28.4</v>
      </c>
      <c r="O9" s="2">
        <v>508.07</v>
      </c>
      <c r="P9" s="2">
        <v>1.05</v>
      </c>
      <c r="Q9" s="2">
        <v>3.85</v>
      </c>
      <c r="R9" s="12">
        <v>26.877470355731226</v>
      </c>
    </row>
    <row r="10" spans="1:18">
      <c r="A10" s="2">
        <v>9</v>
      </c>
      <c r="B10" s="4" t="s">
        <v>31</v>
      </c>
      <c r="C10" s="2">
        <v>770200</v>
      </c>
      <c r="D10" s="6" t="s">
        <v>100</v>
      </c>
      <c r="E10" s="3" t="s">
        <v>32</v>
      </c>
      <c r="F10" s="2">
        <v>126</v>
      </c>
      <c r="G10" s="2">
        <v>23</v>
      </c>
      <c r="H10" s="3" t="s">
        <v>89</v>
      </c>
      <c r="I10" s="3" t="s">
        <v>17</v>
      </c>
      <c r="J10" s="2">
        <v>2.25</v>
      </c>
      <c r="K10" s="2">
        <v>7.4</v>
      </c>
      <c r="L10" s="2">
        <v>98</v>
      </c>
      <c r="M10" s="2">
        <v>33</v>
      </c>
      <c r="N10" s="2">
        <v>20.5</v>
      </c>
      <c r="O10" s="2">
        <v>11203.08</v>
      </c>
      <c r="P10" s="2">
        <v>0.96</v>
      </c>
      <c r="Q10" s="2">
        <v>2.73</v>
      </c>
      <c r="R10" s="12">
        <v>43.555555555555557</v>
      </c>
    </row>
    <row r="11" spans="1:18">
      <c r="A11" s="2">
        <v>10</v>
      </c>
      <c r="B11" s="3" t="s">
        <v>33</v>
      </c>
      <c r="C11" s="2">
        <v>861848</v>
      </c>
      <c r="D11" s="6" t="s">
        <v>101</v>
      </c>
      <c r="E11" s="3" t="s">
        <v>34</v>
      </c>
      <c r="F11" s="2">
        <v>121</v>
      </c>
      <c r="G11" s="2">
        <v>22</v>
      </c>
      <c r="H11" s="3" t="s">
        <v>89</v>
      </c>
      <c r="I11" s="3" t="s">
        <v>23</v>
      </c>
      <c r="J11" s="2">
        <v>3.68</v>
      </c>
      <c r="K11" s="2">
        <v>9</v>
      </c>
      <c r="L11" s="2">
        <v>76</v>
      </c>
      <c r="M11" s="2">
        <v>25</v>
      </c>
      <c r="N11" s="2">
        <v>18.899999999999999</v>
      </c>
      <c r="O11" s="2">
        <v>1898.2</v>
      </c>
      <c r="P11" s="2">
        <v>1.29</v>
      </c>
      <c r="Q11" s="2">
        <v>3.12</v>
      </c>
      <c r="R11" s="12">
        <v>20.652173913043477</v>
      </c>
    </row>
    <row r="12" spans="1:18">
      <c r="A12" s="2">
        <v>11</v>
      </c>
      <c r="B12" s="3" t="s">
        <v>35</v>
      </c>
      <c r="C12" s="2">
        <v>735562</v>
      </c>
      <c r="D12" s="6" t="s">
        <v>102</v>
      </c>
      <c r="E12" s="3" t="s">
        <v>36</v>
      </c>
      <c r="F12" s="2">
        <v>144.5</v>
      </c>
      <c r="G12" s="2">
        <v>39</v>
      </c>
      <c r="H12" s="3" t="s">
        <v>89</v>
      </c>
      <c r="I12" s="3" t="s">
        <v>23</v>
      </c>
      <c r="J12" s="2">
        <v>4.29</v>
      </c>
      <c r="K12" s="2">
        <v>9.1999999999999993</v>
      </c>
      <c r="L12" s="2">
        <v>68</v>
      </c>
      <c r="M12" s="2">
        <v>21</v>
      </c>
      <c r="N12" s="2">
        <v>19</v>
      </c>
      <c r="O12" s="2" t="s">
        <v>132</v>
      </c>
      <c r="P12" s="2">
        <v>1.1299999999999999</v>
      </c>
      <c r="Q12" s="2">
        <v>3.02</v>
      </c>
      <c r="R12" s="12">
        <v>15.850815850815851</v>
      </c>
    </row>
    <row r="13" spans="1:18">
      <c r="A13" s="2">
        <v>12</v>
      </c>
      <c r="B13" s="3" t="s">
        <v>37</v>
      </c>
      <c r="C13" s="2">
        <v>979239</v>
      </c>
      <c r="D13" s="6" t="s">
        <v>103</v>
      </c>
      <c r="E13" s="3" t="s">
        <v>38</v>
      </c>
      <c r="F13" s="2">
        <v>127.5</v>
      </c>
      <c r="G13" s="2">
        <v>24</v>
      </c>
      <c r="H13" s="3" t="s">
        <v>89</v>
      </c>
      <c r="I13" s="3" t="s">
        <v>91</v>
      </c>
      <c r="J13" s="2">
        <v>3.77</v>
      </c>
      <c r="K13" s="2">
        <v>8.6999999999999993</v>
      </c>
      <c r="L13" s="2">
        <v>74</v>
      </c>
      <c r="M13" s="2">
        <v>23</v>
      </c>
      <c r="N13" s="2">
        <v>23.3</v>
      </c>
      <c r="O13" s="2">
        <v>997.5</v>
      </c>
      <c r="P13" s="2">
        <v>1.01</v>
      </c>
      <c r="Q13" s="2">
        <v>2.91</v>
      </c>
      <c r="R13" s="12">
        <v>19.628647214854112</v>
      </c>
    </row>
    <row r="14" spans="1:18">
      <c r="A14" s="2">
        <v>13</v>
      </c>
      <c r="B14" s="3" t="s">
        <v>39</v>
      </c>
      <c r="C14" s="2">
        <v>832498</v>
      </c>
      <c r="D14" s="6" t="s">
        <v>104</v>
      </c>
      <c r="E14" s="3" t="s">
        <v>41</v>
      </c>
      <c r="F14" s="2">
        <v>117.5</v>
      </c>
      <c r="G14" s="2">
        <v>23</v>
      </c>
      <c r="H14" s="3" t="s">
        <v>90</v>
      </c>
      <c r="I14" s="3" t="s">
        <v>40</v>
      </c>
      <c r="J14" s="2">
        <v>1.94</v>
      </c>
      <c r="K14" s="2">
        <v>5.2</v>
      </c>
      <c r="L14" s="2">
        <v>84</v>
      </c>
      <c r="M14" s="2">
        <v>27</v>
      </c>
      <c r="N14" s="2">
        <v>22.3</v>
      </c>
      <c r="O14" s="2">
        <v>1664.68</v>
      </c>
      <c r="P14" s="2">
        <v>1.52</v>
      </c>
      <c r="Q14" s="2">
        <v>4.0599999999999996</v>
      </c>
      <c r="R14" s="12">
        <v>43.298969072164951</v>
      </c>
    </row>
    <row r="15" spans="1:18">
      <c r="A15" s="2">
        <v>14</v>
      </c>
      <c r="B15" s="3" t="s">
        <v>42</v>
      </c>
      <c r="C15" s="2">
        <v>830476</v>
      </c>
      <c r="D15" s="6" t="s">
        <v>105</v>
      </c>
      <c r="E15" s="3" t="s">
        <v>43</v>
      </c>
      <c r="F15" s="2">
        <v>133.5</v>
      </c>
      <c r="G15" s="2">
        <v>21</v>
      </c>
      <c r="H15" s="3" t="s">
        <v>88</v>
      </c>
      <c r="I15" s="3" t="s">
        <v>17</v>
      </c>
      <c r="J15" s="2">
        <v>2.8</v>
      </c>
      <c r="K15" s="2">
        <v>6</v>
      </c>
      <c r="L15" s="2">
        <v>68</v>
      </c>
      <c r="M15" s="2">
        <v>21</v>
      </c>
      <c r="N15" s="2">
        <v>29.7</v>
      </c>
      <c r="O15" s="2">
        <v>1400.27</v>
      </c>
      <c r="P15" s="2">
        <v>0.97</v>
      </c>
      <c r="Q15" s="2">
        <v>3.12</v>
      </c>
      <c r="R15" s="12">
        <v>24.285714285714288</v>
      </c>
    </row>
    <row r="16" spans="1:18">
      <c r="A16" s="2">
        <v>15</v>
      </c>
      <c r="B16" s="3" t="s">
        <v>45</v>
      </c>
      <c r="C16" s="2">
        <v>793309</v>
      </c>
      <c r="D16" s="6" t="s">
        <v>106</v>
      </c>
      <c r="E16" s="3" t="s">
        <v>44</v>
      </c>
      <c r="F16" s="2">
        <v>109.5</v>
      </c>
      <c r="G16" s="2">
        <v>18</v>
      </c>
      <c r="H16" s="3" t="s">
        <v>89</v>
      </c>
      <c r="I16" s="3" t="s">
        <v>17</v>
      </c>
      <c r="J16" s="2">
        <v>2.96</v>
      </c>
      <c r="K16" s="2">
        <v>8.1999999999999993</v>
      </c>
      <c r="L16" s="2">
        <v>83</v>
      </c>
      <c r="M16" s="2">
        <v>28</v>
      </c>
      <c r="N16" s="2">
        <v>12.9</v>
      </c>
      <c r="O16" s="2">
        <v>4827.74</v>
      </c>
      <c r="P16" s="2">
        <v>1.32</v>
      </c>
      <c r="Q16" s="2">
        <v>5.84</v>
      </c>
      <c r="R16" s="12">
        <v>28.04054054054054</v>
      </c>
    </row>
    <row r="17" spans="1:18">
      <c r="A17" s="2">
        <v>16</v>
      </c>
      <c r="B17" s="4" t="s">
        <v>46</v>
      </c>
      <c r="C17" s="2">
        <v>890043</v>
      </c>
      <c r="D17" s="6" t="s">
        <v>107</v>
      </c>
      <c r="E17" s="3" t="s">
        <v>47</v>
      </c>
      <c r="F17" s="2">
        <v>160</v>
      </c>
      <c r="G17" s="2">
        <v>48</v>
      </c>
      <c r="H17" s="3" t="s">
        <v>89</v>
      </c>
      <c r="I17" s="3" t="s">
        <v>23</v>
      </c>
      <c r="J17" s="2">
        <v>4.3499999999999996</v>
      </c>
      <c r="K17" s="2">
        <v>8.6999999999999993</v>
      </c>
      <c r="L17" s="2">
        <v>64</v>
      </c>
      <c r="M17" s="2">
        <v>20</v>
      </c>
      <c r="N17" s="2">
        <v>28.7</v>
      </c>
      <c r="O17" s="2">
        <v>297.2</v>
      </c>
      <c r="P17" s="2">
        <v>1.01</v>
      </c>
      <c r="Q17" s="2">
        <v>4.91</v>
      </c>
      <c r="R17" s="12">
        <v>14.712643678160921</v>
      </c>
    </row>
    <row r="18" spans="1:18">
      <c r="A18" s="2">
        <v>17</v>
      </c>
      <c r="B18" s="3" t="s">
        <v>48</v>
      </c>
      <c r="C18" s="2">
        <v>591462</v>
      </c>
      <c r="D18" s="6" t="s">
        <v>108</v>
      </c>
      <c r="E18" s="3" t="s">
        <v>38</v>
      </c>
      <c r="F18" s="2">
        <v>133.5</v>
      </c>
      <c r="G18" s="2">
        <v>29</v>
      </c>
      <c r="H18" s="3" t="s">
        <v>89</v>
      </c>
      <c r="I18" s="3" t="s">
        <v>17</v>
      </c>
      <c r="J18" s="2">
        <v>2.85</v>
      </c>
      <c r="K18" s="2">
        <v>7.1</v>
      </c>
      <c r="L18" s="2">
        <v>76</v>
      </c>
      <c r="M18" s="2">
        <v>25</v>
      </c>
      <c r="N18" s="2">
        <v>18.5</v>
      </c>
      <c r="O18" s="2">
        <v>321.10000000000002</v>
      </c>
      <c r="P18" s="2">
        <v>1.36</v>
      </c>
      <c r="Q18" s="2">
        <v>2.2200000000000002</v>
      </c>
      <c r="R18" s="12">
        <v>26.666666666666664</v>
      </c>
    </row>
    <row r="19" spans="1:18">
      <c r="A19" s="2">
        <v>18</v>
      </c>
      <c r="B19" s="3" t="s">
        <v>49</v>
      </c>
      <c r="C19" s="2">
        <v>969560</v>
      </c>
      <c r="D19" s="6" t="s">
        <v>109</v>
      </c>
      <c r="E19" s="3" t="s">
        <v>50</v>
      </c>
      <c r="F19" s="2">
        <v>102</v>
      </c>
      <c r="G19" s="2">
        <v>14</v>
      </c>
      <c r="H19" s="3" t="s">
        <v>88</v>
      </c>
      <c r="I19" s="3" t="s">
        <v>23</v>
      </c>
      <c r="J19" s="2">
        <v>3.31</v>
      </c>
      <c r="K19" s="2">
        <v>7.7</v>
      </c>
      <c r="L19" s="2">
        <v>71</v>
      </c>
      <c r="M19" s="2">
        <v>23</v>
      </c>
      <c r="N19" s="2">
        <v>31.2</v>
      </c>
      <c r="O19" s="2" t="s">
        <v>19</v>
      </c>
      <c r="P19" s="2">
        <v>1.37</v>
      </c>
      <c r="Q19" s="2">
        <v>1.56</v>
      </c>
      <c r="R19" s="12">
        <v>21.450151057401811</v>
      </c>
    </row>
    <row r="20" spans="1:18">
      <c r="A20" s="2">
        <v>19</v>
      </c>
      <c r="B20" s="3" t="s">
        <v>51</v>
      </c>
      <c r="C20" s="2">
        <v>858105</v>
      </c>
      <c r="D20" s="6" t="s">
        <v>109</v>
      </c>
      <c r="E20" s="3" t="s">
        <v>38</v>
      </c>
      <c r="F20" s="2">
        <v>132.5</v>
      </c>
      <c r="G20" s="2">
        <v>29</v>
      </c>
      <c r="H20" s="3" t="s">
        <v>89</v>
      </c>
      <c r="I20" s="3" t="s">
        <v>23</v>
      </c>
      <c r="J20" s="2">
        <v>3.96</v>
      </c>
      <c r="K20" s="2">
        <v>8.6</v>
      </c>
      <c r="L20" s="2">
        <v>66</v>
      </c>
      <c r="M20" s="2">
        <v>22</v>
      </c>
      <c r="N20" s="2">
        <v>30.6</v>
      </c>
      <c r="O20" s="2" t="s">
        <v>19</v>
      </c>
      <c r="P20" s="2">
        <v>1.26</v>
      </c>
      <c r="Q20" s="2">
        <v>2.25</v>
      </c>
      <c r="R20" s="12">
        <v>16.666666666666668</v>
      </c>
    </row>
    <row r="21" spans="1:18">
      <c r="A21" s="2">
        <v>20</v>
      </c>
      <c r="B21" s="3" t="s">
        <v>52</v>
      </c>
      <c r="C21" s="5">
        <v>863659</v>
      </c>
      <c r="D21" s="6" t="s">
        <v>110</v>
      </c>
      <c r="E21" s="3" t="s">
        <v>53</v>
      </c>
      <c r="F21" s="2">
        <v>115</v>
      </c>
      <c r="G21" s="2">
        <v>20</v>
      </c>
      <c r="H21" s="3" t="s">
        <v>89</v>
      </c>
      <c r="I21" s="3" t="s">
        <v>17</v>
      </c>
      <c r="J21" s="2">
        <v>3.9</v>
      </c>
      <c r="K21" s="2">
        <v>9.5</v>
      </c>
      <c r="L21" s="2">
        <v>76</v>
      </c>
      <c r="M21" s="2">
        <v>24</v>
      </c>
      <c r="N21" s="2">
        <v>17.3</v>
      </c>
      <c r="O21" s="2">
        <v>69074.960000000006</v>
      </c>
      <c r="P21" s="2">
        <v>1.42</v>
      </c>
      <c r="Q21" s="2">
        <v>8.6300000000000008</v>
      </c>
      <c r="R21" s="12">
        <v>19.487179487179489</v>
      </c>
    </row>
    <row r="22" spans="1:18">
      <c r="A22" s="2">
        <v>21</v>
      </c>
      <c r="B22" s="3" t="s">
        <v>55</v>
      </c>
      <c r="C22" s="2">
        <v>921154</v>
      </c>
      <c r="D22" s="6" t="s">
        <v>111</v>
      </c>
      <c r="E22" s="3" t="s">
        <v>54</v>
      </c>
      <c r="F22" s="2">
        <v>96</v>
      </c>
      <c r="G22" s="2">
        <v>14</v>
      </c>
      <c r="H22" s="3" t="s">
        <v>89</v>
      </c>
      <c r="I22" s="3" t="s">
        <v>17</v>
      </c>
      <c r="J22" s="2">
        <v>3.15</v>
      </c>
      <c r="K22" s="2">
        <v>8.6</v>
      </c>
      <c r="L22" s="2">
        <v>84</v>
      </c>
      <c r="M22" s="2">
        <v>27</v>
      </c>
      <c r="N22" s="2">
        <v>16.2</v>
      </c>
      <c r="O22" s="2" t="s">
        <v>19</v>
      </c>
      <c r="P22" s="2">
        <v>1.29</v>
      </c>
      <c r="Q22" s="2">
        <v>1.94</v>
      </c>
      <c r="R22" s="12">
        <v>26.666666666666668</v>
      </c>
    </row>
    <row r="23" spans="1:18">
      <c r="A23" s="2">
        <v>22</v>
      </c>
      <c r="B23" s="3" t="s">
        <v>56</v>
      </c>
      <c r="C23" s="2">
        <v>621117</v>
      </c>
      <c r="D23" s="6" t="s">
        <v>112</v>
      </c>
      <c r="E23" s="3" t="s">
        <v>41</v>
      </c>
      <c r="F23" s="2">
        <v>131.5</v>
      </c>
      <c r="G23" s="2">
        <v>26</v>
      </c>
      <c r="H23" s="3" t="s">
        <v>88</v>
      </c>
      <c r="I23" s="3" t="s">
        <v>17</v>
      </c>
      <c r="J23" s="2">
        <v>3.34</v>
      </c>
      <c r="K23" s="2">
        <v>8</v>
      </c>
      <c r="L23" s="2">
        <v>74</v>
      </c>
      <c r="M23" s="2">
        <v>24</v>
      </c>
      <c r="N23" s="2">
        <v>17.399999999999999</v>
      </c>
      <c r="O23" s="2">
        <v>6295.63</v>
      </c>
      <c r="P23" s="2">
        <v>1.37</v>
      </c>
      <c r="Q23" s="2">
        <v>1.67</v>
      </c>
      <c r="R23" s="12">
        <v>22.155688622754493</v>
      </c>
    </row>
    <row r="24" spans="1:18">
      <c r="A24" s="2">
        <v>23</v>
      </c>
      <c r="B24" s="4" t="s">
        <v>57</v>
      </c>
      <c r="C24" s="5">
        <v>602109</v>
      </c>
      <c r="D24" s="6" t="s">
        <v>113</v>
      </c>
      <c r="E24" s="3" t="s">
        <v>58</v>
      </c>
      <c r="F24" s="2">
        <v>169</v>
      </c>
      <c r="G24" s="2">
        <v>45</v>
      </c>
      <c r="H24" s="3" t="s">
        <v>88</v>
      </c>
      <c r="I24" s="3" t="s">
        <v>23</v>
      </c>
      <c r="J24" s="2">
        <v>3.05</v>
      </c>
      <c r="K24" s="2">
        <v>5.4</v>
      </c>
      <c r="L24" s="2">
        <v>57</v>
      </c>
      <c r="M24" s="2">
        <v>18</v>
      </c>
      <c r="N24" s="2">
        <v>0</v>
      </c>
      <c r="O24" s="2" t="s">
        <v>19</v>
      </c>
      <c r="P24" s="2">
        <v>1.26</v>
      </c>
      <c r="Q24" s="2">
        <v>0.79</v>
      </c>
      <c r="R24" s="12">
        <v>18.688524590163937</v>
      </c>
    </row>
    <row r="25" spans="1:18">
      <c r="A25" s="2">
        <v>24</v>
      </c>
      <c r="B25" s="3" t="s">
        <v>59</v>
      </c>
      <c r="C25" s="2">
        <v>952670</v>
      </c>
      <c r="D25" s="6" t="s">
        <v>114</v>
      </c>
      <c r="E25" s="3" t="s">
        <v>60</v>
      </c>
      <c r="F25" s="2">
        <v>83.5</v>
      </c>
      <c r="G25" s="2">
        <v>13.5</v>
      </c>
      <c r="H25" s="3" t="s">
        <v>89</v>
      </c>
      <c r="I25" s="3" t="s">
        <v>17</v>
      </c>
      <c r="J25" s="2">
        <v>3.75</v>
      </c>
      <c r="K25" s="2">
        <v>10.6</v>
      </c>
      <c r="L25" s="2">
        <v>84</v>
      </c>
      <c r="M25" s="2">
        <v>28</v>
      </c>
      <c r="N25" s="2">
        <v>14.2</v>
      </c>
      <c r="O25" s="2" t="s">
        <v>19</v>
      </c>
      <c r="P25" s="2">
        <v>1.23</v>
      </c>
      <c r="Q25" s="2">
        <v>2.76</v>
      </c>
      <c r="R25" s="14">
        <v>22.4</v>
      </c>
    </row>
    <row r="26" spans="1:18">
      <c r="A26" s="2">
        <v>25</v>
      </c>
      <c r="B26" s="3" t="s">
        <v>61</v>
      </c>
      <c r="C26" s="2">
        <v>985027</v>
      </c>
      <c r="D26" s="6" t="s">
        <v>115</v>
      </c>
      <c r="E26" s="3" t="s">
        <v>62</v>
      </c>
      <c r="F26" s="2">
        <v>118</v>
      </c>
      <c r="G26" s="2">
        <v>20</v>
      </c>
      <c r="H26" s="3" t="s">
        <v>89</v>
      </c>
      <c r="I26" s="3" t="s">
        <v>23</v>
      </c>
      <c r="J26" s="2">
        <v>3.45</v>
      </c>
      <c r="K26" s="2">
        <v>7.6</v>
      </c>
      <c r="L26" s="2">
        <v>69</v>
      </c>
      <c r="M26" s="2">
        <v>22</v>
      </c>
      <c r="N26" s="2">
        <v>34.299999999999997</v>
      </c>
      <c r="O26" s="2">
        <v>312.97000000000003</v>
      </c>
      <c r="P26" s="2">
        <v>1.4</v>
      </c>
      <c r="Q26" s="2">
        <v>9.3000000000000007</v>
      </c>
      <c r="R26" s="14">
        <v>20</v>
      </c>
    </row>
    <row r="27" spans="1:18">
      <c r="A27" s="2">
        <v>26</v>
      </c>
      <c r="B27" s="4" t="s">
        <v>63</v>
      </c>
      <c r="C27" s="5">
        <v>949691</v>
      </c>
      <c r="D27" s="6" t="s">
        <v>116</v>
      </c>
      <c r="E27" s="3" t="s">
        <v>64</v>
      </c>
      <c r="F27" s="2">
        <v>120</v>
      </c>
      <c r="G27" s="2">
        <v>24.5</v>
      </c>
      <c r="H27" s="3" t="s">
        <v>89</v>
      </c>
      <c r="I27" s="3" t="s">
        <v>17</v>
      </c>
      <c r="J27" s="2">
        <v>3.7</v>
      </c>
      <c r="K27" s="2">
        <v>7.7</v>
      </c>
      <c r="L27" s="2">
        <v>67</v>
      </c>
      <c r="M27" s="2">
        <v>21</v>
      </c>
      <c r="N27" s="2">
        <v>27.6</v>
      </c>
      <c r="O27" s="2">
        <v>797.2</v>
      </c>
      <c r="P27" s="2">
        <v>1.02</v>
      </c>
      <c r="Q27" s="2">
        <v>4.62</v>
      </c>
      <c r="R27" s="12">
        <v>18.108108108108109</v>
      </c>
    </row>
    <row r="28" spans="1:18">
      <c r="A28" s="2">
        <v>27</v>
      </c>
      <c r="B28" s="4" t="s">
        <v>65</v>
      </c>
      <c r="C28" s="5">
        <v>425134</v>
      </c>
      <c r="D28" s="6" t="s">
        <v>117</v>
      </c>
      <c r="E28" s="3" t="s">
        <v>66</v>
      </c>
      <c r="F28" s="2">
        <v>134</v>
      </c>
      <c r="G28" s="2">
        <v>24</v>
      </c>
      <c r="H28" s="3" t="s">
        <v>88</v>
      </c>
      <c r="I28" s="3" t="s">
        <v>17</v>
      </c>
      <c r="J28" s="2">
        <v>2.65</v>
      </c>
      <c r="K28" s="2">
        <v>6.7</v>
      </c>
      <c r="L28" s="2">
        <v>86</v>
      </c>
      <c r="M28" s="2">
        <v>25</v>
      </c>
      <c r="N28" s="2">
        <v>23.5</v>
      </c>
      <c r="O28" s="2">
        <v>11823.5</v>
      </c>
      <c r="P28" s="2">
        <v>1</v>
      </c>
      <c r="Q28" s="2">
        <v>2.99</v>
      </c>
      <c r="R28" s="12">
        <v>32.452830188679243</v>
      </c>
    </row>
    <row r="29" spans="1:18">
      <c r="A29" s="2">
        <v>28</v>
      </c>
      <c r="B29" s="4" t="s">
        <v>67</v>
      </c>
      <c r="C29" s="2">
        <v>742144</v>
      </c>
      <c r="D29" s="6" t="s">
        <v>118</v>
      </c>
      <c r="E29" s="3" t="s">
        <v>68</v>
      </c>
      <c r="F29" s="2">
        <v>116</v>
      </c>
      <c r="G29" s="2">
        <v>22.5</v>
      </c>
      <c r="H29" s="3" t="s">
        <v>89</v>
      </c>
      <c r="I29" s="3" t="s">
        <v>23</v>
      </c>
      <c r="J29" s="2">
        <v>3.88</v>
      </c>
      <c r="K29" s="2">
        <v>10.4</v>
      </c>
      <c r="L29" s="2">
        <v>80</v>
      </c>
      <c r="M29" s="2">
        <v>27</v>
      </c>
      <c r="N29" s="2">
        <v>15.2</v>
      </c>
      <c r="O29" s="2" t="s">
        <v>19</v>
      </c>
      <c r="P29" s="2">
        <v>1.66</v>
      </c>
      <c r="Q29" s="2">
        <v>3.84</v>
      </c>
      <c r="R29" s="12">
        <v>20.618556701030929</v>
      </c>
    </row>
    <row r="30" spans="1:18">
      <c r="A30" s="2">
        <v>29</v>
      </c>
      <c r="B30" s="4" t="s">
        <v>69</v>
      </c>
      <c r="C30" s="5">
        <v>822390</v>
      </c>
      <c r="D30" s="6" t="s">
        <v>119</v>
      </c>
      <c r="E30" s="3" t="s">
        <v>66</v>
      </c>
      <c r="F30" s="2">
        <v>119</v>
      </c>
      <c r="G30" s="2">
        <v>20</v>
      </c>
      <c r="H30" s="3" t="s">
        <v>89</v>
      </c>
      <c r="I30" s="3" t="s">
        <v>17</v>
      </c>
      <c r="J30" s="2">
        <v>4.1900000000000004</v>
      </c>
      <c r="K30" s="2">
        <v>11.6</v>
      </c>
      <c r="L30" s="2">
        <v>84</v>
      </c>
      <c r="M30" s="2">
        <v>28</v>
      </c>
      <c r="N30" s="2">
        <v>13.3</v>
      </c>
      <c r="O30" s="2">
        <v>7062.75</v>
      </c>
      <c r="P30" s="2">
        <v>1.26</v>
      </c>
      <c r="Q30" s="2">
        <v>11.97</v>
      </c>
      <c r="R30" s="12">
        <v>20.047732696897373</v>
      </c>
    </row>
    <row r="31" spans="1:18">
      <c r="A31" s="2">
        <v>30</v>
      </c>
      <c r="B31" s="4" t="s">
        <v>70</v>
      </c>
      <c r="C31" s="2">
        <v>681433</v>
      </c>
      <c r="D31" s="6" t="s">
        <v>86</v>
      </c>
      <c r="E31" s="3" t="s">
        <v>71</v>
      </c>
      <c r="F31" s="2">
        <v>38</v>
      </c>
      <c r="G31" s="2">
        <v>156</v>
      </c>
      <c r="H31" s="3" t="s">
        <v>88</v>
      </c>
      <c r="I31" s="3" t="s">
        <v>23</v>
      </c>
      <c r="J31" s="2">
        <v>4.83</v>
      </c>
      <c r="K31" s="2">
        <v>8.1</v>
      </c>
      <c r="L31" s="2">
        <v>55</v>
      </c>
      <c r="M31" s="2">
        <v>17</v>
      </c>
      <c r="N31" s="2">
        <v>30.2</v>
      </c>
      <c r="O31" s="2">
        <v>567.80999999999995</v>
      </c>
      <c r="P31" s="2">
        <v>1.46</v>
      </c>
      <c r="Q31" s="2">
        <v>3.79</v>
      </c>
      <c r="R31" s="12">
        <v>11.387163561076605</v>
      </c>
    </row>
    <row r="32" spans="1:18">
      <c r="A32" s="2">
        <v>31</v>
      </c>
      <c r="B32" s="3" t="s">
        <v>72</v>
      </c>
      <c r="C32" s="2">
        <v>717872</v>
      </c>
      <c r="D32" s="6" t="s">
        <v>120</v>
      </c>
      <c r="E32" s="3" t="s">
        <v>73</v>
      </c>
      <c r="F32" s="2">
        <v>143</v>
      </c>
      <c r="G32" s="2">
        <v>38.5</v>
      </c>
      <c r="H32" s="3" t="s">
        <v>89</v>
      </c>
      <c r="I32" s="3" t="s">
        <v>17</v>
      </c>
      <c r="J32" s="2">
        <v>2.61</v>
      </c>
      <c r="K32" s="2">
        <v>5.8</v>
      </c>
      <c r="L32" s="2">
        <v>73</v>
      </c>
      <c r="M32" s="2">
        <v>22</v>
      </c>
      <c r="N32" s="2">
        <v>28.9</v>
      </c>
      <c r="O32" s="2">
        <v>1150.51</v>
      </c>
      <c r="P32" s="2">
        <v>1.48</v>
      </c>
      <c r="Q32" s="2">
        <v>1.65</v>
      </c>
      <c r="R32" s="12">
        <v>27.969348659003831</v>
      </c>
    </row>
    <row r="33" spans="1:18">
      <c r="A33" s="2">
        <v>32</v>
      </c>
      <c r="B33" s="4" t="s">
        <v>74</v>
      </c>
      <c r="C33" s="5">
        <v>999864</v>
      </c>
      <c r="D33" s="6" t="s">
        <v>121</v>
      </c>
      <c r="E33" s="3" t="s">
        <v>75</v>
      </c>
      <c r="F33" s="2">
        <v>110</v>
      </c>
      <c r="G33" s="2">
        <v>17</v>
      </c>
      <c r="H33" s="3" t="s">
        <v>88</v>
      </c>
      <c r="I33" s="3" t="s">
        <v>17</v>
      </c>
      <c r="J33" s="2">
        <v>3.3</v>
      </c>
      <c r="K33" s="2">
        <v>7.1</v>
      </c>
      <c r="L33" s="2">
        <v>68</v>
      </c>
      <c r="M33" s="2">
        <v>22</v>
      </c>
      <c r="N33" s="2">
        <v>0</v>
      </c>
      <c r="O33" s="2">
        <v>344.99</v>
      </c>
      <c r="P33" s="2">
        <v>1.29</v>
      </c>
      <c r="Q33" s="2">
        <v>2.2599999999999998</v>
      </c>
      <c r="R33" s="12">
        <v>20.606060606060606</v>
      </c>
    </row>
    <row r="34" spans="1:18">
      <c r="A34" s="2">
        <v>33</v>
      </c>
      <c r="B34" s="4" t="s">
        <v>76</v>
      </c>
      <c r="C34" s="5">
        <v>713250</v>
      </c>
      <c r="D34" s="6" t="s">
        <v>122</v>
      </c>
      <c r="E34" s="3" t="s">
        <v>77</v>
      </c>
      <c r="F34" s="2">
        <v>149</v>
      </c>
      <c r="G34" s="2">
        <v>34</v>
      </c>
      <c r="H34" s="3" t="s">
        <v>88</v>
      </c>
      <c r="I34" s="3" t="s">
        <v>17</v>
      </c>
      <c r="J34" s="2">
        <v>4.26</v>
      </c>
      <c r="K34" s="2">
        <v>10.199999999999999</v>
      </c>
      <c r="L34" s="2">
        <v>71</v>
      </c>
      <c r="M34" s="2">
        <v>24</v>
      </c>
      <c r="N34" s="2">
        <v>31.1</v>
      </c>
      <c r="O34" s="2">
        <v>1158.53</v>
      </c>
      <c r="P34" s="2">
        <v>1.26</v>
      </c>
      <c r="Q34" s="2">
        <v>1.74</v>
      </c>
      <c r="R34" s="12">
        <v>16.666666666666668</v>
      </c>
    </row>
    <row r="35" spans="1:18">
      <c r="A35" s="2">
        <v>34</v>
      </c>
      <c r="B35" s="4" t="s">
        <v>78</v>
      </c>
      <c r="C35" s="5">
        <v>711789</v>
      </c>
      <c r="D35" s="6" t="s">
        <v>123</v>
      </c>
      <c r="E35" s="3" t="s">
        <v>79</v>
      </c>
      <c r="F35" s="2">
        <v>124</v>
      </c>
      <c r="G35" s="2">
        <v>22</v>
      </c>
      <c r="H35" s="3" t="s">
        <v>88</v>
      </c>
      <c r="I35" s="3" t="s">
        <v>91</v>
      </c>
      <c r="J35" s="2">
        <v>3.43</v>
      </c>
      <c r="K35" s="2">
        <v>11.2</v>
      </c>
      <c r="L35" s="2">
        <v>104</v>
      </c>
      <c r="M35" s="2">
        <v>33</v>
      </c>
      <c r="N35" s="2">
        <v>11.5</v>
      </c>
      <c r="O35" s="2">
        <v>513.66</v>
      </c>
      <c r="P35" s="2">
        <v>1.55</v>
      </c>
      <c r="Q35" s="2">
        <v>1.44</v>
      </c>
      <c r="R35" s="12">
        <v>30.320699708454811</v>
      </c>
    </row>
    <row r="36" spans="1:18">
      <c r="A36" s="2">
        <v>35</v>
      </c>
      <c r="B36" s="6" t="s">
        <v>125</v>
      </c>
      <c r="C36" s="15">
        <v>771198</v>
      </c>
      <c r="D36" s="6" t="s">
        <v>81</v>
      </c>
      <c r="E36" s="3" t="s">
        <v>80</v>
      </c>
      <c r="F36" s="2">
        <v>116</v>
      </c>
      <c r="G36" s="2">
        <v>20</v>
      </c>
      <c r="H36" s="3" t="s">
        <v>89</v>
      </c>
      <c r="I36" s="3" t="s">
        <v>17</v>
      </c>
      <c r="J36" s="11">
        <v>1.74</v>
      </c>
      <c r="K36" s="2">
        <v>3.5</v>
      </c>
      <c r="L36" s="2">
        <v>62</v>
      </c>
      <c r="M36" s="2">
        <v>20</v>
      </c>
      <c r="N36" s="2">
        <v>33</v>
      </c>
      <c r="O36" s="2">
        <v>4154.7700000000004</v>
      </c>
      <c r="P36" s="2">
        <v>1.1499999999999999</v>
      </c>
      <c r="Q36" s="2">
        <v>2.2200000000000002</v>
      </c>
      <c r="R36" s="12">
        <v>35.632183908045974</v>
      </c>
    </row>
    <row r="37" spans="1:18">
      <c r="A37" s="2">
        <v>36</v>
      </c>
      <c r="B37" s="6" t="s">
        <v>126</v>
      </c>
      <c r="C37" s="2">
        <v>917718</v>
      </c>
      <c r="D37" s="6" t="s">
        <v>124</v>
      </c>
      <c r="E37" s="3" t="s">
        <v>82</v>
      </c>
      <c r="F37" s="2">
        <v>96</v>
      </c>
      <c r="G37" s="2">
        <v>14</v>
      </c>
      <c r="H37" s="3" t="s">
        <v>89</v>
      </c>
      <c r="I37" s="3" t="s">
        <v>23</v>
      </c>
      <c r="J37" s="2">
        <v>2.82</v>
      </c>
      <c r="K37" s="2">
        <v>6.8</v>
      </c>
      <c r="L37" s="2">
        <v>72</v>
      </c>
      <c r="M37" s="2">
        <v>24</v>
      </c>
      <c r="N37" s="2">
        <v>28.3</v>
      </c>
      <c r="O37" s="2">
        <v>363.05</v>
      </c>
      <c r="P37" s="2">
        <v>0.75</v>
      </c>
      <c r="Q37" s="2">
        <v>5.17</v>
      </c>
      <c r="R37" s="12">
        <v>25.531914893617024</v>
      </c>
    </row>
    <row r="38" spans="1:18">
      <c r="A38" s="2">
        <v>37</v>
      </c>
      <c r="B38" s="10" t="s">
        <v>127</v>
      </c>
      <c r="C38" s="11">
        <v>375354</v>
      </c>
      <c r="D38" s="10" t="s">
        <v>128</v>
      </c>
      <c r="E38" s="3" t="s">
        <v>58</v>
      </c>
      <c r="F38" s="2">
        <v>160</v>
      </c>
      <c r="G38" s="2">
        <v>49.5</v>
      </c>
      <c r="H38" s="3" t="s">
        <v>89</v>
      </c>
      <c r="I38" s="3" t="s">
        <v>17</v>
      </c>
      <c r="J38" s="2">
        <v>3.68</v>
      </c>
      <c r="K38" s="2">
        <v>7.8</v>
      </c>
      <c r="L38" s="2">
        <v>25</v>
      </c>
      <c r="M38" s="2">
        <v>68</v>
      </c>
      <c r="N38" s="2">
        <v>23.8</v>
      </c>
      <c r="O38" s="2">
        <v>265.38</v>
      </c>
      <c r="P38" s="2">
        <v>1.23</v>
      </c>
      <c r="Q38" s="2">
        <v>2.21</v>
      </c>
      <c r="R38" s="16">
        <v>6.7934782608695645</v>
      </c>
    </row>
    <row r="39" spans="1:18">
      <c r="A39" s="2">
        <v>38</v>
      </c>
      <c r="B39" s="10" t="s">
        <v>129</v>
      </c>
      <c r="C39" s="11">
        <v>864125</v>
      </c>
      <c r="D39" s="10" t="s">
        <v>131</v>
      </c>
      <c r="E39" s="3" t="s">
        <v>130</v>
      </c>
      <c r="F39" s="2">
        <v>100</v>
      </c>
      <c r="G39" s="2">
        <v>16</v>
      </c>
      <c r="H39" s="3" t="s">
        <v>89</v>
      </c>
      <c r="I39" s="3" t="s">
        <v>17</v>
      </c>
      <c r="J39" s="2">
        <v>3.85</v>
      </c>
      <c r="K39" s="2">
        <v>9.9</v>
      </c>
      <c r="L39" s="2">
        <v>77</v>
      </c>
      <c r="M39" s="2">
        <v>26</v>
      </c>
      <c r="N39" s="2">
        <v>19.3</v>
      </c>
      <c r="O39" s="11" t="s">
        <v>19</v>
      </c>
      <c r="P39" s="2">
        <v>2.17</v>
      </c>
      <c r="Q39" s="2">
        <v>12.67</v>
      </c>
      <c r="R39" s="14">
        <v>20</v>
      </c>
    </row>
    <row r="44" spans="1:18">
      <c r="C44"/>
    </row>
    <row r="45" spans="1:18">
      <c r="C45"/>
    </row>
    <row r="46" spans="1:18">
      <c r="C46"/>
    </row>
    <row r="47" spans="1:18">
      <c r="C47"/>
    </row>
    <row r="48" spans="1:18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Sheet1</vt:lpstr>
      <vt:lpstr>Alamat</vt:lpstr>
      <vt:lpstr>BB</vt:lpstr>
      <vt:lpstr>Diagnosis</vt:lpstr>
      <vt:lpstr>Feritin</vt:lpstr>
      <vt:lpstr>ft4_</vt:lpstr>
      <vt:lpstr>Hb</vt:lpstr>
      <vt:lpstr>Index_Mentzner</vt:lpstr>
      <vt:lpstr>MCH</vt:lpstr>
      <vt:lpstr>MCV</vt:lpstr>
      <vt:lpstr>Nama</vt:lpstr>
      <vt:lpstr>No</vt:lpstr>
      <vt:lpstr>No_RM</vt:lpstr>
      <vt:lpstr>RBC</vt:lpstr>
      <vt:lpstr>RDW</vt:lpstr>
      <vt:lpstr>Status_Gizi__lla</vt:lpstr>
      <vt:lpstr>TB</vt:lpstr>
      <vt:lpstr>TSHS</vt:lpstr>
      <vt:lpstr>Usia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2023-02-18T03:03:13Z</dcterms:created>
  <dcterms:modified xsi:type="dcterms:W3CDTF">2023-04-14T07:43:44Z</dcterms:modified>
</cp:coreProperties>
</file>